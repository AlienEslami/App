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es" sheetId="1" r:id="rId5"/>
    <sheet state="visible" name="Chargers" sheetId="2" r:id="rId6"/>
    <sheet state="visible" name="Trip time" sheetId="3" r:id="rId7"/>
    <sheet state="visible" name="Energy consumption" sheetId="4" r:id="rId8"/>
    <sheet state="visible" name="Power price" sheetId="5" r:id="rId9"/>
    <sheet state="visible" name="Prices" sheetId="6" r:id="rId10"/>
    <sheet state="visible" name="Average prices" sheetId="7" r:id="rId11"/>
    <sheet state="visible" name="Periods" sheetId="8" r:id="rId12"/>
  </sheets>
  <definedNames/>
  <calcPr/>
</workbook>
</file>

<file path=xl/sharedStrings.xml><?xml version="1.0" encoding="utf-8"?>
<sst xmlns="http://schemas.openxmlformats.org/spreadsheetml/2006/main" count="42" uniqueCount="42">
  <si>
    <t>Bus (kWh)</t>
  </si>
  <si>
    <t>Charger (kWh/min)</t>
  </si>
  <si>
    <t>Charger (kW)</t>
  </si>
  <si>
    <t>Scale factor</t>
  </si>
  <si>
    <t>Max Power (kW)</t>
  </si>
  <si>
    <t>Time begin (min)</t>
  </si>
  <si>
    <t>Time finish (min)</t>
  </si>
  <si>
    <t>Time begin</t>
  </si>
  <si>
    <t>Time finish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</si>
  <si>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</si>
  <si>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</si>
  <si>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</si>
  <si>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</si>
  <si>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</si>
  <si>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</si>
  <si>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</si>
  <si>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</si>
  <si>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Power</t>
  </si>
  <si>
    <t>Price</t>
  </si>
  <si>
    <t>Power [total]</t>
  </si>
  <si>
    <t>Peak price (€/day)</t>
  </si>
  <si>
    <t>Ratio</t>
  </si>
  <si>
    <t>Time</t>
  </si>
  <si>
    <t>Spot Market</t>
  </si>
  <si>
    <t>Capacity price</t>
  </si>
  <si>
    <t>Max price</t>
  </si>
  <si>
    <t>Min price</t>
  </si>
  <si>
    <t>Max cap</t>
  </si>
  <si>
    <t>Min cap</t>
  </si>
  <si>
    <t>Periods</t>
  </si>
  <si>
    <t>Averages</t>
  </si>
  <si>
    <t>Deviation</t>
  </si>
  <si>
    <t>[1-8]</t>
  </si>
  <si>
    <t>[9-16]</t>
  </si>
  <si>
    <t>[17-24]</t>
  </si>
  <si>
    <t>[25-32]</t>
  </si>
  <si>
    <t>[33-40]</t>
  </si>
  <si>
    <t>[41-48]</t>
  </si>
  <si>
    <t>Period</t>
  </si>
  <si>
    <t>Begin</t>
  </si>
  <si>
    <t>End</t>
  </si>
  <si>
    <t>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</si>
</sst>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1" shrinkToFit="0" wrapText="1"/>
    </xf>
    <xf borderId="0" fillId="0" fontId="2" numFmtId="0" xfId="0" applyAlignment="1" applyFont="1">
      <alignment horizontal="right" readingOrder="1" shrinkToFit="0" vertical="center" wrapText="1"/>
    </xf>
    <xf borderId="0" fillId="0" fontId="3" numFmtId="0" xfId="0" applyAlignment="1" applyFont="1">
      <alignment horizontal="right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15.75" customHeight="1">
      <c r="A2" s="1">
        <v>250.0</v>
      </c>
    </row>
    <row r="3" ht="15.75" customHeight="1">
      <c r="A3" s="1">
        <v>250.0</v>
      </c>
    </row>
    <row r="4" ht="15.75" customHeight="1">
      <c r="A4" s="1">
        <v>250.0</v>
      </c>
    </row>
    <row r="5" ht="15.75" customHeight="1">
      <c r="A5" s="1">
        <v>250.0</v>
      </c>
    </row>
    <row r="6" ht="15.75" customHeight="1">
      <c r="A6" s="1">
        <v>250.0</v>
      </c>
    </row>
    <row r="7" ht="15.75" customHeight="1">
      <c r="A7" s="1">
        <v>250.0</v>
      </c>
    </row>
    <row r="8" ht="15.75" customHeight="1">
      <c r="A8" s="1">
        <v>250.0</v>
      </c>
    </row>
    <row r="9" ht="15.75" customHeight="1">
      <c r="A9" s="1">
        <v>250.0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12.33"/>
    <col customWidth="1" min="3" max="26" width="10.56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4</v>
      </c>
    </row>
    <row r="2" ht="15.75" customHeight="1">
      <c r="A2" s="2">
        <v>45.0</v>
      </c>
      <c r="B2" s="1">
        <v>200.0</v>
      </c>
      <c r="C2" s="1">
        <f>60/30</f>
        <v>2</v>
      </c>
      <c r="D2" s="1">
        <f>SUM(A2:A9)</f>
        <v>360</v>
      </c>
    </row>
    <row r="3" ht="15.75" customHeight="1">
      <c r="A3" s="2">
        <v>45.0</v>
      </c>
      <c r="B3" s="1">
        <v>200.0</v>
      </c>
    </row>
    <row r="4" ht="15.75" customHeight="1">
      <c r="A4" s="2">
        <v>45.0</v>
      </c>
      <c r="B4" s="1">
        <v>200.0</v>
      </c>
    </row>
    <row r="5" ht="15.75" customHeight="1">
      <c r="A5" s="2">
        <v>45.0</v>
      </c>
      <c r="B5" s="1">
        <v>200.0</v>
      </c>
    </row>
    <row r="6" ht="15.75" customHeight="1">
      <c r="A6" s="2">
        <v>45.0</v>
      </c>
      <c r="B6" s="1">
        <v>200.0</v>
      </c>
    </row>
    <row r="7" ht="15.75" customHeight="1">
      <c r="A7" s="2">
        <v>45.0</v>
      </c>
      <c r="B7" s="1">
        <v>200.0</v>
      </c>
    </row>
    <row r="8" ht="15.75" customHeight="1">
      <c r="A8" s="2">
        <v>45.0</v>
      </c>
      <c r="B8" s="1">
        <v>200.0</v>
      </c>
    </row>
    <row r="9" ht="15.75" customHeight="1">
      <c r="A9" s="2">
        <v>45.0</v>
      </c>
      <c r="B9" s="1">
        <v>200.0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5</v>
      </c>
      <c r="B1" s="1" t="s">
        <v>6</v>
      </c>
      <c r="C1" s="1" t="s">
        <v>7</v>
      </c>
      <c r="D1" s="1" t="s">
        <v>8</v>
      </c>
    </row>
    <row r="2" ht="15.75" customHeight="1">
      <c r="A2" s="1">
        <f t="shared" ref="A2:B2" si="1">ROUND(CONVERT(C2,"hr","mn")/30,0)</f>
        <v>15</v>
      </c>
      <c r="B2" s="1">
        <f t="shared" si="1"/>
        <v>46</v>
      </c>
      <c r="C2" s="1">
        <v>7.25</v>
      </c>
      <c r="D2" s="1">
        <v>23.0</v>
      </c>
    </row>
    <row r="3" ht="15.75" customHeight="1">
      <c r="A3" s="1">
        <f t="shared" ref="A3:B3" si="2">ROUND(CONVERT(C3,"hr","mn")/30,0)</f>
        <v>13</v>
      </c>
      <c r="B3" s="1">
        <f t="shared" si="2"/>
        <v>47</v>
      </c>
      <c r="C3" s="1">
        <v>6.5</v>
      </c>
      <c r="D3" s="1">
        <v>23.5</v>
      </c>
    </row>
    <row r="4" ht="15.75" customHeight="1">
      <c r="A4" s="1">
        <f t="shared" ref="A4:B4" si="3">ROUND(CONVERT(C4,"hr","mn")/30,0)</f>
        <v>12</v>
      </c>
      <c r="B4" s="1">
        <f t="shared" si="3"/>
        <v>38</v>
      </c>
      <c r="C4" s="1">
        <v>6.0</v>
      </c>
      <c r="D4" s="1">
        <v>19.0</v>
      </c>
    </row>
    <row r="5" ht="15.75" customHeight="1">
      <c r="A5" s="1">
        <f t="shared" ref="A5:B5" si="4">ROUND(CONVERT(C5,"hr","mn")/30,0)</f>
        <v>13</v>
      </c>
      <c r="B5" s="1">
        <f t="shared" si="4"/>
        <v>42</v>
      </c>
      <c r="C5" s="1">
        <v>6.25</v>
      </c>
      <c r="D5" s="1">
        <v>21.0</v>
      </c>
    </row>
    <row r="6" ht="15.75" customHeight="1">
      <c r="A6" s="1">
        <f t="shared" ref="A6:B6" si="5">ROUND(CONVERT(C6,"hr","mn")/30,0)</f>
        <v>14</v>
      </c>
      <c r="B6" s="1">
        <f t="shared" si="5"/>
        <v>46</v>
      </c>
      <c r="C6" s="1">
        <v>6.75</v>
      </c>
      <c r="D6" s="1">
        <v>23.0</v>
      </c>
    </row>
    <row r="7" ht="15.75" customHeight="1">
      <c r="A7" s="1">
        <f t="shared" ref="A7:B7" si="6">ROUND(CONVERT(C7,"hr","mn")/30,0)</f>
        <v>14</v>
      </c>
      <c r="B7" s="1">
        <f t="shared" si="6"/>
        <v>44</v>
      </c>
      <c r="C7" s="1">
        <v>7.0</v>
      </c>
      <c r="D7" s="1">
        <v>22.0</v>
      </c>
    </row>
    <row r="8" ht="15.75" customHeight="1">
      <c r="A8" s="1">
        <f t="shared" ref="A8:B8" si="7">ROUND(CONVERT(C8,"hr","mn")/30,0)</f>
        <v>15</v>
      </c>
      <c r="B8" s="1">
        <f t="shared" si="7"/>
        <v>43</v>
      </c>
      <c r="C8" s="1">
        <v>7.25</v>
      </c>
      <c r="D8" s="1">
        <v>21.5</v>
      </c>
    </row>
    <row r="9" ht="15.75" customHeight="1">
      <c r="A9" s="1">
        <f t="shared" ref="A9:B9" si="8">ROUND(CONVERT(C9,"hr","mn")/30,0)</f>
        <v>14</v>
      </c>
      <c r="B9" s="1">
        <f t="shared" si="8"/>
        <v>43</v>
      </c>
      <c r="C9" s="1">
        <v>7.0</v>
      </c>
      <c r="D9" s="1">
        <v>21.5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5.0"/>
    <col customWidth="1" min="4" max="4" width="22.11"/>
    <col customWidth="1" min="5" max="5" width="26.67"/>
    <col customWidth="1" min="6" max="6" width="22.11"/>
    <col customWidth="1" min="7" max="7" width="10.56"/>
    <col customWidth="1" min="8" max="8" width="24.0"/>
    <col customWidth="1" min="9" max="9" width="30.67"/>
    <col customWidth="1" min="10" max="26" width="10.56"/>
  </cols>
  <sheetData>
    <row r="1" ht="15.75" customHeight="1">
      <c r="A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3"/>
    </row>
    <row r="2" ht="15.75" customHeight="1">
      <c r="A2" s="1">
        <f t="shared" ref="A2:A9" si="1">C2*$H$2</f>
        <v>5.538</v>
      </c>
      <c r="C2" s="1">
        <f t="shared" ref="C2:C9" si="2">D2+E2*F2*G2</f>
        <v>0.923</v>
      </c>
      <c r="D2" s="1">
        <v>0.923</v>
      </c>
      <c r="E2" s="1">
        <v>0.093</v>
      </c>
      <c r="F2" s="1">
        <v>0.0</v>
      </c>
      <c r="G2" s="1">
        <v>0.0</v>
      </c>
      <c r="H2" s="1">
        <f>(12/60)*30</f>
        <v>6</v>
      </c>
      <c r="I2" s="1">
        <f t="shared" ref="I2:I9" si="3">E2*$H$2</f>
        <v>0.558</v>
      </c>
      <c r="J2" s="3"/>
    </row>
    <row r="3" ht="15.75" customHeight="1">
      <c r="A3" s="1">
        <f t="shared" si="1"/>
        <v>5.154</v>
      </c>
      <c r="C3" s="1">
        <f t="shared" si="2"/>
        <v>0.859</v>
      </c>
      <c r="D3" s="1">
        <v>0.859</v>
      </c>
      <c r="E3" s="1">
        <v>0.072</v>
      </c>
      <c r="F3" s="1">
        <v>0.0</v>
      </c>
      <c r="G3" s="1">
        <v>0.0</v>
      </c>
      <c r="I3" s="1">
        <f t="shared" si="3"/>
        <v>0.432</v>
      </c>
      <c r="J3" s="3"/>
    </row>
    <row r="4" ht="15.75" customHeight="1">
      <c r="A4" s="1">
        <f t="shared" si="1"/>
        <v>5.316</v>
      </c>
      <c r="C4" s="1">
        <f t="shared" si="2"/>
        <v>0.886</v>
      </c>
      <c r="D4" s="1">
        <v>0.886</v>
      </c>
      <c r="E4" s="1">
        <v>0.069</v>
      </c>
      <c r="F4" s="1">
        <v>0.0</v>
      </c>
      <c r="G4" s="1">
        <v>0.0</v>
      </c>
      <c r="I4" s="1">
        <f t="shared" si="3"/>
        <v>0.414</v>
      </c>
      <c r="J4" s="3"/>
    </row>
    <row r="5" ht="15.75" customHeight="1">
      <c r="A5" s="1">
        <f t="shared" si="1"/>
        <v>5.28</v>
      </c>
      <c r="C5" s="1">
        <f t="shared" si="2"/>
        <v>0.88</v>
      </c>
      <c r="D5" s="1">
        <v>0.88</v>
      </c>
      <c r="E5" s="1">
        <v>0.129</v>
      </c>
      <c r="F5" s="1">
        <v>0.0</v>
      </c>
      <c r="G5" s="1">
        <v>0.0</v>
      </c>
      <c r="I5" s="1">
        <f t="shared" si="3"/>
        <v>0.774</v>
      </c>
      <c r="J5" s="3"/>
    </row>
    <row r="6" ht="15.75" customHeight="1">
      <c r="A6" s="1">
        <f t="shared" si="1"/>
        <v>5.166</v>
      </c>
      <c r="C6" s="1">
        <f t="shared" si="2"/>
        <v>0.861</v>
      </c>
      <c r="D6" s="1">
        <v>0.861</v>
      </c>
      <c r="E6" s="1">
        <v>0.104</v>
      </c>
      <c r="F6" s="1">
        <v>0.0</v>
      </c>
      <c r="G6" s="1">
        <v>0.0</v>
      </c>
      <c r="I6" s="1">
        <f t="shared" si="3"/>
        <v>0.624</v>
      </c>
      <c r="J6" s="3"/>
    </row>
    <row r="7" ht="15.75" customHeight="1">
      <c r="A7" s="1">
        <f t="shared" si="1"/>
        <v>5.346</v>
      </c>
      <c r="C7" s="1">
        <f t="shared" si="2"/>
        <v>0.891</v>
      </c>
      <c r="D7" s="1">
        <v>0.891</v>
      </c>
      <c r="E7" s="1">
        <v>0.078</v>
      </c>
      <c r="F7" s="1">
        <v>0.0</v>
      </c>
      <c r="G7" s="1">
        <v>0.0</v>
      </c>
      <c r="I7" s="1">
        <f t="shared" si="3"/>
        <v>0.468</v>
      </c>
      <c r="J7" s="3"/>
    </row>
    <row r="8" ht="15.75" customHeight="1">
      <c r="A8" s="1">
        <f t="shared" si="1"/>
        <v>5.538</v>
      </c>
      <c r="C8" s="1">
        <f t="shared" si="2"/>
        <v>0.923</v>
      </c>
      <c r="D8" s="1">
        <v>0.923</v>
      </c>
      <c r="E8" s="1">
        <v>0.093</v>
      </c>
      <c r="F8" s="1">
        <v>0.0</v>
      </c>
      <c r="G8" s="1">
        <v>0.0</v>
      </c>
      <c r="I8" s="1">
        <f t="shared" si="3"/>
        <v>0.558</v>
      </c>
      <c r="J8" s="3"/>
    </row>
    <row r="9" ht="15.75" customHeight="1">
      <c r="A9" s="1">
        <f t="shared" si="1"/>
        <v>5.418</v>
      </c>
      <c r="C9" s="1">
        <f t="shared" si="2"/>
        <v>0.903</v>
      </c>
      <c r="D9" s="1">
        <v>0.903</v>
      </c>
      <c r="E9" s="1">
        <v>0.08</v>
      </c>
      <c r="F9" s="1">
        <v>0.0</v>
      </c>
      <c r="G9" s="1">
        <v>0.0</v>
      </c>
      <c r="I9" s="1">
        <f t="shared" si="3"/>
        <v>0.48</v>
      </c>
      <c r="J9" s="3"/>
    </row>
    <row r="10" ht="15.75" customHeight="1">
      <c r="D10" s="4"/>
      <c r="E10" s="4"/>
      <c r="F10" s="5"/>
      <c r="G10" s="5"/>
      <c r="I10" s="4"/>
      <c r="J10" s="3"/>
    </row>
    <row r="11" ht="15.75" customHeight="1">
      <c r="D11" s="4"/>
      <c r="E11" s="4"/>
      <c r="F11" s="5"/>
      <c r="G11" s="5"/>
      <c r="I11" s="4"/>
      <c r="J11" s="3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2.67"/>
    <col customWidth="1" min="4" max="4" width="16.0"/>
    <col customWidth="1" min="5" max="26" width="10.56"/>
  </cols>
  <sheetData>
    <row r="1" ht="15.7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ht="15.75" customHeight="1">
      <c r="A2" s="1">
        <f>(C2)/Chargers!C2</f>
        <v>100</v>
      </c>
      <c r="B2" s="1">
        <f t="shared" ref="B2:B9" si="1">$D$2*E2</f>
        <v>1.7125</v>
      </c>
      <c r="C2" s="1">
        <f>Chargers!B2</f>
        <v>200</v>
      </c>
      <c r="D2" s="1">
        <f>1.7125</f>
        <v>1.7125</v>
      </c>
      <c r="E2" s="1">
        <f>C2/$C$2</f>
        <v>1</v>
      </c>
    </row>
    <row r="3" ht="15.75" customHeight="1">
      <c r="A3" s="1">
        <f t="shared" ref="A3:A9" si="2">$A$2*E3</f>
        <v>200</v>
      </c>
      <c r="B3" s="1">
        <f t="shared" si="1"/>
        <v>3.425</v>
      </c>
      <c r="E3" s="1">
        <v>2.0</v>
      </c>
    </row>
    <row r="4" ht="15.75" customHeight="1">
      <c r="A4" s="1">
        <f t="shared" si="2"/>
        <v>300</v>
      </c>
      <c r="B4" s="1">
        <f t="shared" si="1"/>
        <v>5.1375</v>
      </c>
      <c r="E4" s="1">
        <v>3.0</v>
      </c>
    </row>
    <row r="5" ht="15.75" customHeight="1">
      <c r="A5" s="1">
        <f t="shared" si="2"/>
        <v>400</v>
      </c>
      <c r="B5" s="1">
        <f t="shared" si="1"/>
        <v>6.85</v>
      </c>
      <c r="E5" s="1">
        <v>4.0</v>
      </c>
    </row>
    <row r="6" ht="15.75" customHeight="1">
      <c r="A6" s="1">
        <f t="shared" si="2"/>
        <v>500</v>
      </c>
      <c r="B6" s="1">
        <f t="shared" si="1"/>
        <v>8.5625</v>
      </c>
      <c r="E6" s="1">
        <v>5.0</v>
      </c>
    </row>
    <row r="7" ht="15.75" customHeight="1">
      <c r="A7" s="1">
        <f t="shared" si="2"/>
        <v>600</v>
      </c>
      <c r="B7" s="1">
        <f t="shared" si="1"/>
        <v>10.275</v>
      </c>
      <c r="E7" s="1">
        <v>6.0</v>
      </c>
    </row>
    <row r="8" ht="15.75" customHeight="1">
      <c r="A8" s="1">
        <f t="shared" si="2"/>
        <v>700</v>
      </c>
      <c r="B8" s="1">
        <f t="shared" si="1"/>
        <v>11.9875</v>
      </c>
      <c r="E8" s="1">
        <v>7.0</v>
      </c>
    </row>
    <row r="9" ht="15.75" customHeight="1">
      <c r="A9" s="1">
        <f t="shared" si="2"/>
        <v>800</v>
      </c>
      <c r="B9" s="1">
        <f t="shared" si="1"/>
        <v>13.7</v>
      </c>
      <c r="E9" s="1">
        <v>8.0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3.56"/>
    <col customWidth="1" min="3" max="5" width="10.56"/>
    <col customWidth="1" min="6" max="6" width="12.11"/>
    <col customWidth="1" min="7" max="26" width="10.56"/>
  </cols>
  <sheetData>
    <row r="1" ht="15.75" customHeight="1">
      <c r="A1" s="1" t="s">
        <v>22</v>
      </c>
      <c r="B1" s="1" t="s">
        <v>23</v>
      </c>
      <c r="C1" s="1" t="s">
        <v>24</v>
      </c>
    </row>
    <row r="2" ht="15.75" customHeight="1">
      <c r="A2" s="1">
        <v>1.0</v>
      </c>
      <c r="B2" s="1">
        <v>0.09619637602179835</v>
      </c>
      <c r="C2" s="1">
        <v>0.00814452868852459</v>
      </c>
    </row>
    <row r="3" ht="15.75" customHeight="1">
      <c r="A3" s="1">
        <v>2.0</v>
      </c>
      <c r="B3" s="1">
        <v>0.09619637602179835</v>
      </c>
      <c r="C3" s="1">
        <v>0.00814452868852459</v>
      </c>
      <c r="L3" s="6"/>
      <c r="M3" s="6"/>
    </row>
    <row r="4" ht="15.75" customHeight="1">
      <c r="A4" s="1">
        <v>3.0</v>
      </c>
      <c r="B4" s="1">
        <v>0.08876599455040872</v>
      </c>
      <c r="C4" s="1">
        <v>0.008847445355191257</v>
      </c>
      <c r="L4" s="6"/>
      <c r="M4" s="6"/>
    </row>
    <row r="5" ht="15.75" customHeight="1">
      <c r="A5" s="1">
        <v>4.0</v>
      </c>
      <c r="B5" s="1">
        <v>0.08876599455040872</v>
      </c>
      <c r="C5" s="1">
        <v>0.008847445355191257</v>
      </c>
      <c r="L5" s="6"/>
      <c r="M5" s="6"/>
    </row>
    <row r="6" ht="15.75" customHeight="1">
      <c r="A6" s="1">
        <v>5.0</v>
      </c>
      <c r="B6" s="1">
        <v>0.08449662125340598</v>
      </c>
      <c r="C6" s="1">
        <v>0.00976761612021858</v>
      </c>
      <c r="L6" s="6"/>
      <c r="M6" s="6"/>
    </row>
    <row r="7" ht="15.75" customHeight="1">
      <c r="A7" s="1">
        <v>6.0</v>
      </c>
      <c r="B7" s="1">
        <v>0.08449662125340598</v>
      </c>
      <c r="C7" s="1">
        <v>0.00976761612021858</v>
      </c>
      <c r="L7" s="6"/>
      <c r="M7" s="6"/>
    </row>
    <row r="8" ht="15.75" customHeight="1">
      <c r="A8" s="1">
        <v>7.0</v>
      </c>
      <c r="B8" s="1">
        <v>0.08228021798365123</v>
      </c>
      <c r="C8" s="1">
        <v>0.01012517759562842</v>
      </c>
    </row>
    <row r="9" ht="15.75" customHeight="1">
      <c r="A9" s="1">
        <v>8.0</v>
      </c>
      <c r="B9" s="1">
        <v>0.08228021798365123</v>
      </c>
      <c r="C9" s="1">
        <v>0.01012517759562842</v>
      </c>
    </row>
    <row r="10" ht="15.75" customHeight="1">
      <c r="A10" s="1">
        <v>9.0</v>
      </c>
      <c r="B10" s="1">
        <v>0.08080803814713895</v>
      </c>
      <c r="C10" s="1">
        <v>0.01030042349726776</v>
      </c>
    </row>
    <row r="11" ht="15.75" customHeight="1">
      <c r="A11" s="1">
        <v>10.0</v>
      </c>
      <c r="B11" s="1">
        <v>0.08080803814713895</v>
      </c>
      <c r="C11" s="1">
        <v>0.01030042349726776</v>
      </c>
    </row>
    <row r="12" ht="15.75" customHeight="1">
      <c r="A12" s="1">
        <v>11.0</v>
      </c>
      <c r="B12" s="1">
        <v>0.08383324250681198</v>
      </c>
      <c r="C12" s="1">
        <v>0.009970765027322404</v>
      </c>
    </row>
    <row r="13" ht="15.75" customHeight="1">
      <c r="A13" s="1">
        <v>12.0</v>
      </c>
      <c r="B13" s="1">
        <v>0.08383324250681198</v>
      </c>
      <c r="C13" s="1">
        <v>0.009970765027322404</v>
      </c>
    </row>
    <row r="14" ht="15.75" customHeight="1">
      <c r="A14" s="1">
        <v>13.0</v>
      </c>
      <c r="B14" s="1">
        <v>0.09252626702997276</v>
      </c>
      <c r="C14" s="1">
        <v>0.0088811543715847</v>
      </c>
    </row>
    <row r="15" ht="15.75" customHeight="1">
      <c r="A15" s="1">
        <v>14.0</v>
      </c>
      <c r="B15" s="1">
        <v>0.09252626702997276</v>
      </c>
      <c r="C15" s="1">
        <v>0.0088811543715847</v>
      </c>
    </row>
    <row r="16" ht="15.75" customHeight="1">
      <c r="A16" s="1">
        <v>15.0</v>
      </c>
      <c r="B16" s="1">
        <v>0.102791280653951</v>
      </c>
      <c r="C16" s="1">
        <v>0.007568476775956285</v>
      </c>
    </row>
    <row r="17" ht="15.75" customHeight="1">
      <c r="A17" s="1">
        <v>16.0</v>
      </c>
      <c r="B17" s="1">
        <v>0.102791280653951</v>
      </c>
      <c r="C17" s="1">
        <v>0.007568476775956285</v>
      </c>
    </row>
    <row r="18" ht="15.75" customHeight="1">
      <c r="A18" s="1">
        <v>17.0</v>
      </c>
      <c r="B18" s="1">
        <v>0.105717166212534</v>
      </c>
      <c r="C18" s="1">
        <v>0.00866938524590164</v>
      </c>
    </row>
    <row r="19" ht="15.75" customHeight="1">
      <c r="A19" s="1">
        <v>18.0</v>
      </c>
      <c r="B19" s="1">
        <v>0.105717166212534</v>
      </c>
      <c r="C19" s="1">
        <v>0.00866938524590164</v>
      </c>
    </row>
    <row r="20" ht="15.75" customHeight="1">
      <c r="A20" s="1">
        <v>19.0</v>
      </c>
      <c r="B20" s="1">
        <v>0.09572980926430517</v>
      </c>
      <c r="C20" s="1">
        <v>0.01081829918032787</v>
      </c>
    </row>
    <row r="21" ht="15.75" customHeight="1">
      <c r="A21" s="1">
        <v>20.0</v>
      </c>
      <c r="B21" s="1">
        <v>0.09572980926430517</v>
      </c>
      <c r="C21" s="1">
        <v>0.01081829918032787</v>
      </c>
    </row>
    <row r="22" ht="15.75" customHeight="1">
      <c r="A22" s="1">
        <v>21.0</v>
      </c>
      <c r="B22" s="1">
        <v>0.08299574931880109</v>
      </c>
      <c r="C22" s="1">
        <v>0.01384879781420765</v>
      </c>
    </row>
    <row r="23" ht="15.75" customHeight="1">
      <c r="A23" s="1">
        <v>22.0</v>
      </c>
      <c r="B23" s="1">
        <v>0.08299574931880109</v>
      </c>
      <c r="C23" s="1">
        <v>0.01384879781420765</v>
      </c>
    </row>
    <row r="24" ht="15.75" customHeight="1">
      <c r="A24" s="1">
        <v>23.0</v>
      </c>
      <c r="B24" s="1">
        <v>0.077228310626703</v>
      </c>
      <c r="C24" s="1">
        <v>0.01352628415300547</v>
      </c>
    </row>
    <row r="25" ht="15.75" customHeight="1">
      <c r="A25" s="1">
        <v>24.0</v>
      </c>
      <c r="B25" s="1">
        <v>0.077228310626703</v>
      </c>
      <c r="C25" s="1">
        <v>0.01352628415300547</v>
      </c>
    </row>
    <row r="26" ht="15.75" customHeight="1">
      <c r="A26" s="1">
        <v>25.0</v>
      </c>
      <c r="B26" s="1">
        <v>0.07437686648501363</v>
      </c>
      <c r="C26" s="1">
        <v>0.01377030054644809</v>
      </c>
    </row>
    <row r="27" ht="15.75" customHeight="1">
      <c r="A27" s="1">
        <v>26.0</v>
      </c>
      <c r="B27" s="1">
        <v>0.07437686648501363</v>
      </c>
      <c r="C27" s="1">
        <v>0.01377030054644809</v>
      </c>
    </row>
    <row r="28" ht="15.75" customHeight="1">
      <c r="A28" s="1">
        <v>27.0</v>
      </c>
      <c r="B28" s="1">
        <v>0.07192795640326977</v>
      </c>
      <c r="C28" s="1">
        <v>0.01372168032786885</v>
      </c>
    </row>
    <row r="29" ht="15.75" customHeight="1">
      <c r="A29" s="1">
        <v>28.0</v>
      </c>
      <c r="B29" s="1">
        <v>0.07192795640326977</v>
      </c>
      <c r="C29" s="1">
        <v>0.01372168032786885</v>
      </c>
    </row>
    <row r="30" ht="15.75" customHeight="1">
      <c r="A30" s="1">
        <v>29.0</v>
      </c>
      <c r="B30" s="1">
        <v>0.06861103542234331</v>
      </c>
      <c r="C30" s="1">
        <v>0.01380472677595628</v>
      </c>
    </row>
    <row r="31" ht="15.75" customHeight="1">
      <c r="A31" s="1">
        <v>30.0</v>
      </c>
      <c r="B31" s="1">
        <v>0.06861103542234331</v>
      </c>
      <c r="C31" s="1">
        <v>0.01380472677595628</v>
      </c>
    </row>
    <row r="32" ht="15.75" customHeight="1">
      <c r="A32" s="1">
        <v>31.0</v>
      </c>
      <c r="B32" s="1">
        <v>0.06739891008174388</v>
      </c>
      <c r="C32" s="1">
        <v>0.01379685792349727</v>
      </c>
    </row>
    <row r="33" ht="15.75" customHeight="1">
      <c r="A33" s="1">
        <v>32.0</v>
      </c>
      <c r="B33" s="1">
        <v>0.06739891008174388</v>
      </c>
      <c r="C33" s="1">
        <v>0.01379685792349727</v>
      </c>
    </row>
    <row r="34" ht="15.75" customHeight="1">
      <c r="A34" s="1">
        <v>33.0</v>
      </c>
      <c r="B34" s="1">
        <v>0.07101792915531335</v>
      </c>
      <c r="C34" s="1">
        <v>0.01449546448087432</v>
      </c>
    </row>
    <row r="35" ht="15.75" customHeight="1">
      <c r="A35" s="1">
        <v>34.0</v>
      </c>
      <c r="B35" s="1">
        <v>0.07101792915531335</v>
      </c>
      <c r="C35" s="1">
        <v>0.01449546448087432</v>
      </c>
    </row>
    <row r="36" ht="15.75" customHeight="1">
      <c r="A36" s="1">
        <v>35.0</v>
      </c>
      <c r="B36" s="1">
        <v>0.08115062670299727</v>
      </c>
      <c r="C36" s="1">
        <v>0.01317325136612022</v>
      </c>
    </row>
    <row r="37" ht="15.75" customHeight="1">
      <c r="A37" s="1">
        <v>36.0</v>
      </c>
      <c r="B37" s="1">
        <v>0.08115062670299727</v>
      </c>
      <c r="C37" s="1">
        <v>0.01317325136612022</v>
      </c>
    </row>
    <row r="38" ht="15.75" customHeight="1">
      <c r="A38" s="1">
        <v>37.0</v>
      </c>
      <c r="B38" s="1">
        <v>0.09418119891008175</v>
      </c>
      <c r="C38" s="1">
        <v>0.01124412568306011</v>
      </c>
    </row>
    <row r="39" ht="15.75" customHeight="1">
      <c r="A39" s="1">
        <v>38.0</v>
      </c>
      <c r="B39" s="1">
        <v>0.09418119891008175</v>
      </c>
      <c r="C39" s="1">
        <v>0.01124412568306011</v>
      </c>
    </row>
    <row r="40" ht="15.75" customHeight="1">
      <c r="A40" s="1">
        <v>39.0</v>
      </c>
      <c r="B40" s="1">
        <v>0.1104535694822888</v>
      </c>
      <c r="C40" s="1">
        <v>0.008416031420765026</v>
      </c>
    </row>
    <row r="41" ht="15.75" customHeight="1">
      <c r="A41" s="1">
        <v>40.0</v>
      </c>
      <c r="B41" s="1">
        <v>0.1104535694822888</v>
      </c>
      <c r="C41" s="1">
        <v>0.008416031420765026</v>
      </c>
    </row>
    <row r="42" ht="15.75" customHeight="1">
      <c r="A42" s="1">
        <v>41.0</v>
      </c>
      <c r="B42" s="1">
        <v>0.1221265940054496</v>
      </c>
      <c r="C42" s="1">
        <v>0.005837370218579234</v>
      </c>
    </row>
    <row r="43" ht="15.75" customHeight="1">
      <c r="A43" s="1">
        <v>42.0</v>
      </c>
      <c r="B43" s="1">
        <v>0.1221265940054496</v>
      </c>
      <c r="C43" s="1">
        <v>0.005837370218579234</v>
      </c>
    </row>
    <row r="44" ht="15.75" customHeight="1">
      <c r="A44" s="1">
        <v>43.0</v>
      </c>
      <c r="B44" s="1">
        <v>0.120581825613079</v>
      </c>
      <c r="C44" s="1">
        <v>0.005094658469945355</v>
      </c>
    </row>
    <row r="45" ht="15.75" customHeight="1">
      <c r="A45" s="1">
        <v>44.0</v>
      </c>
      <c r="B45" s="1">
        <v>0.120581825613079</v>
      </c>
      <c r="C45" s="1">
        <v>0.005094658469945355</v>
      </c>
    </row>
    <row r="46" ht="15.75" customHeight="1">
      <c r="A46" s="1">
        <v>45.0</v>
      </c>
      <c r="B46" s="1">
        <v>0.1114515803814714</v>
      </c>
      <c r="C46" s="1">
        <v>0.005853763661202186</v>
      </c>
    </row>
    <row r="47" ht="15.75" customHeight="1">
      <c r="A47" s="1">
        <v>46.0</v>
      </c>
      <c r="B47" s="1">
        <v>0.1114515803814714</v>
      </c>
      <c r="C47" s="1">
        <v>0.005853763661202186</v>
      </c>
    </row>
    <row r="48" ht="15.75" customHeight="1">
      <c r="A48" s="1">
        <v>47.0</v>
      </c>
      <c r="B48" s="1">
        <v>0.1015224043715847</v>
      </c>
      <c r="C48" s="1">
        <v>0.007312945205479452</v>
      </c>
    </row>
    <row r="49" ht="15.75" customHeight="1">
      <c r="A49" s="1">
        <v>48.0</v>
      </c>
      <c r="B49" s="1">
        <v>0.1015224043715847</v>
      </c>
      <c r="C49" s="1">
        <v>0.007312945205479452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7" t="s">
        <v>30</v>
      </c>
      <c r="G1" s="7"/>
      <c r="H1" s="8" t="s">
        <v>31</v>
      </c>
      <c r="I1" s="8"/>
    </row>
    <row r="2" ht="15.75" customHeight="1">
      <c r="A2" s="1">
        <v>0.101</v>
      </c>
      <c r="B2" s="1">
        <v>0.078</v>
      </c>
      <c r="C2" s="1">
        <v>0.0109</v>
      </c>
      <c r="D2" s="1">
        <v>0.0074</v>
      </c>
      <c r="E2" s="1" t="s">
        <v>32</v>
      </c>
      <c r="F2" s="1">
        <f>SUM(Prices!B2:B9)/8</f>
        <v>0.08793480245</v>
      </c>
      <c r="G2" s="1">
        <f>SUM(Prices!C2:C9)/8</f>
        <v>0.00922119194</v>
      </c>
      <c r="H2" s="1">
        <f>AVEDEV(Prices!B2:B9)</f>
        <v>0.004546382834</v>
      </c>
      <c r="I2" s="1">
        <f>AVEDEV(Prices!C2:C9)</f>
        <v>0.000725204918</v>
      </c>
    </row>
    <row r="3" ht="15.75" customHeight="1">
      <c r="A3" s="1">
        <v>0.11</v>
      </c>
      <c r="B3" s="1">
        <v>0.073</v>
      </c>
      <c r="C3" s="1">
        <v>0.011</v>
      </c>
      <c r="D3" s="1">
        <v>0.0069</v>
      </c>
      <c r="E3" s="1" t="s">
        <v>33</v>
      </c>
      <c r="F3" s="1">
        <f>SUM(Prices!B10:B17)/8</f>
        <v>0.08998970708</v>
      </c>
      <c r="G3" s="1">
        <f>SUM(Prices!C10:C17)/8</f>
        <v>0.009180204918</v>
      </c>
      <c r="H3" s="1">
        <f>AVEDEV(Prices!B10:B17)</f>
        <v>0.007669066757</v>
      </c>
      <c r="I3" s="1">
        <f>AVEDEV(Prices!C10:C17)</f>
        <v>0.0009553893443</v>
      </c>
    </row>
    <row r="4" ht="15.75" customHeight="1">
      <c r="A4" s="1">
        <v>0.116</v>
      </c>
      <c r="B4" s="1">
        <v>0.067</v>
      </c>
      <c r="C4" s="1">
        <v>0.0145</v>
      </c>
      <c r="D4" s="1">
        <v>0.008</v>
      </c>
      <c r="E4" s="1" t="s">
        <v>34</v>
      </c>
      <c r="F4" s="1">
        <f>SUM(Prices!B18:B25)/8</f>
        <v>0.09041775886</v>
      </c>
      <c r="G4" s="1">
        <f>SUM(Prices!C18:C25)/8</f>
        <v>0.0117156916</v>
      </c>
      <c r="H4" s="1">
        <f>AVEDEV(Prices!B18:B25)</f>
        <v>0.01030572888</v>
      </c>
      <c r="I4" s="1">
        <f>AVEDEV(Prices!C18:C25)</f>
        <v>0.001971849385</v>
      </c>
    </row>
    <row r="5" ht="15.75" customHeight="1">
      <c r="A5" s="1">
        <v>0.077</v>
      </c>
      <c r="B5" s="1">
        <v>0.065</v>
      </c>
      <c r="C5" s="1">
        <v>0.0144</v>
      </c>
      <c r="D5" s="1">
        <v>0.0131</v>
      </c>
      <c r="E5" s="1" t="s">
        <v>35</v>
      </c>
      <c r="F5" s="1">
        <f>SUM(Prices!B26:B33)/8</f>
        <v>0.0705786921</v>
      </c>
      <c r="G5" s="1">
        <f>SUM(Prices!C26:C33)/8</f>
        <v>0.01377339139</v>
      </c>
      <c r="H5" s="1">
        <f>AVEDEV(Prices!B26:B33)</f>
        <v>0.002573719346</v>
      </c>
      <c r="I5" s="1">
        <f>AVEDEV(Prices!C26:C33)</f>
        <v>0.00002740095628</v>
      </c>
    </row>
    <row r="6" ht="15.75" customHeight="1">
      <c r="A6" s="1">
        <v>0.124</v>
      </c>
      <c r="B6" s="1">
        <v>0.058</v>
      </c>
      <c r="C6" s="1">
        <v>0.015</v>
      </c>
      <c r="D6" s="1">
        <v>0.008</v>
      </c>
      <c r="E6" s="1" t="s">
        <v>36</v>
      </c>
      <c r="F6" s="1">
        <f>SUM(Prices!B34:B41)/8</f>
        <v>0.08920083106</v>
      </c>
      <c r="G6" s="1">
        <f>SUM(Prices!C34:C41)/8</f>
        <v>0.01183221824</v>
      </c>
      <c r="H6" s="1">
        <f>AVEDEV(Prices!B34:B41)</f>
        <v>0.01311655313</v>
      </c>
      <c r="I6" s="1">
        <f>AVEDEV(Prices!C34:C41)</f>
        <v>0.002002139686</v>
      </c>
    </row>
    <row r="7" ht="15.75" customHeight="1">
      <c r="A7" s="1">
        <v>0.13</v>
      </c>
      <c r="B7" s="1">
        <v>0.094</v>
      </c>
      <c r="C7" s="1">
        <v>0.0968</v>
      </c>
      <c r="D7" s="1">
        <v>0.0047</v>
      </c>
      <c r="E7" s="1" t="s">
        <v>37</v>
      </c>
      <c r="F7" s="1">
        <f>SUM(Prices!B42:B49)/8</f>
        <v>0.1139206011</v>
      </c>
      <c r="G7" s="1">
        <f>SUM(Prices!C42:C49)/8</f>
        <v>0.006024684389</v>
      </c>
      <c r="H7" s="1">
        <f>AVEDEV(Prices!B42:B49)</f>
        <v>0.007433608716</v>
      </c>
      <c r="I7" s="1">
        <f>AVEDEV(Prices!C42:C49)</f>
        <v>0.0006441304083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6" t="s">
        <v>38</v>
      </c>
      <c r="B1" s="6" t="s">
        <v>39</v>
      </c>
      <c r="C1" s="6" t="s">
        <v>40</v>
      </c>
      <c r="D1" s="6" t="s">
        <v>41</v>
      </c>
      <c r="E1" s="6"/>
    </row>
    <row r="2" ht="15.75" customHeight="1">
      <c r="A2" s="6">
        <v>1.0</v>
      </c>
      <c r="B2" s="6">
        <v>1.0</v>
      </c>
      <c r="C2" s="6">
        <v>8.0</v>
      </c>
      <c r="D2" s="6">
        <f t="shared" ref="D2:D7" si="1">C2-B2+1</f>
        <v>8</v>
      </c>
      <c r="E2" s="6"/>
    </row>
    <row r="3" ht="15.75" customHeight="1">
      <c r="A3" s="6">
        <v>2.0</v>
      </c>
      <c r="B3" s="6">
        <v>9.0</v>
      </c>
      <c r="C3" s="6">
        <v>16.0</v>
      </c>
      <c r="D3" s="6">
        <f t="shared" si="1"/>
        <v>8</v>
      </c>
      <c r="E3" s="6"/>
    </row>
    <row r="4" ht="15.75" customHeight="1">
      <c r="A4" s="6">
        <v>3.0</v>
      </c>
      <c r="B4" s="6">
        <v>17.0</v>
      </c>
      <c r="C4" s="6">
        <v>24.0</v>
      </c>
      <c r="D4" s="6">
        <f t="shared" si="1"/>
        <v>8</v>
      </c>
      <c r="E4" s="6"/>
    </row>
    <row r="5" ht="15.75" customHeight="1">
      <c r="A5" s="6">
        <v>4.0</v>
      </c>
      <c r="B5" s="6">
        <v>25.0</v>
      </c>
      <c r="C5" s="6">
        <v>32.0</v>
      </c>
      <c r="D5" s="6">
        <f t="shared" si="1"/>
        <v>8</v>
      </c>
      <c r="E5" s="6"/>
    </row>
    <row r="6" ht="15.75" customHeight="1">
      <c r="A6" s="6">
        <v>5.0</v>
      </c>
      <c r="B6" s="6">
        <v>33.0</v>
      </c>
      <c r="C6" s="6">
        <v>40.0</v>
      </c>
      <c r="D6" s="6">
        <f t="shared" si="1"/>
        <v>8</v>
      </c>
      <c r="E6" s="6"/>
    </row>
    <row r="7" ht="15.75" customHeight="1">
      <c r="A7" s="6">
        <v>6.0</v>
      </c>
      <c r="B7" s="6">
        <v>41.0</v>
      </c>
      <c r="C7" s="6">
        <v>48.0</v>
      </c>
      <c r="D7" s="6">
        <f t="shared" si="1"/>
        <v>8</v>
      </c>
      <c r="E7" s="6"/>
    </row>
    <row r="8" ht="15.75" customHeight="1">
      <c r="A8" s="6"/>
      <c r="B8" s="6"/>
      <c r="C8" s="6"/>
      <c r="D8" s="6"/>
      <c r="E8" s="6"/>
    </row>
    <row r="9" ht="15.75" customHeight="1">
      <c r="D9" s="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